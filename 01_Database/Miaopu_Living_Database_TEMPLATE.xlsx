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838" firstSheet="1" activeTab="1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01_Pipeline" sheetId="2" state="visible" r:id="rId2"/>
    <sheet xmlns:r="http://schemas.openxmlformats.org/officeDocument/2006/relationships" name="02_Scoring" sheetId="3" state="visible" r:id="rId3"/>
    <sheet xmlns:r="http://schemas.openxmlformats.org/officeDocument/2006/relationships" name="03_Whitespace" sheetId="4" state="visible" r:id="rId4"/>
    <sheet xmlns:r="http://schemas.openxmlformats.org/officeDocument/2006/relationships" name="04_Sources" sheetId="5" state="visible" r:id="rId5"/>
    <sheet xmlns:r="http://schemas.openxmlformats.org/officeDocument/2006/relationships" name="05_Event_Log" sheetId="6" state="visible" r:id="rId6"/>
    <sheet xmlns:r="http://schemas.openxmlformats.org/officeDocument/2006/relationships" name="06_Calibration" sheetId="7" state="visible" r:id="rId7"/>
    <sheet xmlns:r="http://schemas.openxmlformats.org/officeDocument/2006/relationships" name="07_Theme_Tracker" sheetId="8" state="visible" r:id="rId8"/>
    <sheet xmlns:r="http://schemas.openxmlformats.org/officeDocument/2006/relationships" name="08_Contacts" sheetId="9" state="visible" r:id="rId9"/>
    <sheet xmlns:r="http://schemas.openxmlformats.org/officeDocument/2006/relationships" name="09_Dictionary" sheetId="10" state="visible" r:id="rId10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charset val="1"/>
      <b val="1"/>
      <color rgb="FF1F4E3D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1F4E3D"/>
      <sz val="11"/>
    </font>
    <font>
      <name val="Noto Sans CJK SC"/>
      <charset val="1"/>
      <family val="2"/>
      <sz val="10"/>
    </font>
    <font>
      <name val="Arial"/>
      <family val="2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Arial"/>
      <family val="2"/>
      <color rgb="FF0000FF"/>
      <sz val="10"/>
    </font>
    <font>
      <name val="Arial"/>
      <family val="2"/>
      <i val="1"/>
      <color rgb="FF595959"/>
      <sz val="10"/>
    </font>
    <font>
      <name val="DengXian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/>
    </xf>
    <xf numFmtId="0" fontId="9" fillId="0" borderId="0" pivotButton="0" quotePrefix="0" xfId="0"/>
    <xf numFmtId="0" fontId="8" fillId="3" borderId="1" applyAlignment="1" pivotButton="0" quotePrefix="0" xfId="0">
      <alignment horizontal="center" vertical="top"/>
    </xf>
    <xf numFmtId="0" fontId="2" fillId="0" borderId="1" pivotButton="0" quotePrefix="0" xfId="0"/>
    <xf numFmtId="0" fontId="4" fillId="0" borderId="0" pivotButton="0" quotePrefix="0" xfId="0"/>
    <xf numFmtId="0" fontId="8" fillId="3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8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Miaopu</author>
  </authors>
  <commentList>
    <comment ref="C5" authorId="0" shapeId="0">
      <text>
        <t>Bajado de 25 a 20 es la propuesta pendiente de la corrida 1: el eje E3 resulto mas discriminante. Ver 06_Calibration CAL-01.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topLeftCell="A5" zoomScaleNormal="100" workbookViewId="0">
      <selection activeCell="B10" sqref="B10"/>
    </sheetView>
  </sheetViews>
  <sheetFormatPr baseColWidth="8" defaultColWidth="8.6640625" defaultRowHeight="14.25"/>
  <cols>
    <col width="26" customWidth="1" min="1" max="1"/>
    <col width="105" customWidth="1" min="2" max="2"/>
  </cols>
  <sheetData>
    <row r="1" ht="17.65" customHeight="1">
      <c r="A1" t="inlineStr">
        <is>
          <t>Miaopu living database · TEMPLATE</t>
        </is>
      </c>
    </row>
    <row r="2"/>
    <row r="3" ht="25.5" customHeight="1">
      <c r="A3" t="inlineStr">
        <is>
          <t>This workbook is the source of truth.</t>
        </is>
      </c>
      <c r="B3" t="inlineStr">
        <is>
          <t>Not the digests, not the exports, not your notes.</t>
        </is>
      </c>
    </row>
    <row r="4" ht="25.5" customHeight="1">
      <c r="A4" t="inlineStr">
        <is>
          <t>Before first use</t>
        </is>
      </c>
      <c r="B4" t="inlineStr">
        <is>
          <t>Copy to Miaopu_Living_Database_v1.0.xlsx. Set the five weights in 02_Scoring so they sum to 100, set the three thresholds, then seed 04_Sources.</t>
        </is>
      </c>
    </row>
    <row r="5" ht="25.5" customHeight="1">
      <c r="A5" t="inlineStr">
        <is>
          <t>The weights are live</t>
        </is>
      </c>
      <c r="B5" t="inlineStr">
        <is>
          <t>01_Pipeline column R is a formula referencing 02_Scoring C5:C9. Changing a weight recalculates the whole history, deliberately. Read weights from the sheet, never from memory.</t>
        </is>
      </c>
    </row>
    <row r="6" ht="25.5" customHeight="1">
      <c r="A6" t="inlineStr">
        <is>
          <t>Row 2 of 01_Pipeline</t>
        </is>
      </c>
      <c r="B6" t="inlineStr">
        <is>
          <t>Carries the score formula on an otherwise blank row. Copy it down as you add entities; do not retype it.</t>
        </is>
      </c>
    </row>
    <row r="7">
      <c r="A7" t="inlineStr">
        <is>
          <t>Every datum carries an evidence label</t>
        </is>
      </c>
      <c r="B7" t="inlineStr">
        <is>
          <t>registry / patent / paper / filing / company / press. No label, no entry to the score. See 09_Dictionary.</t>
        </is>
      </c>
    </row>
    <row r="8">
      <c r="A8" t="inlineStr">
        <is>
          <t>Two pairs never collapse</t>
        </is>
      </c>
      <c r="B8" t="inlineStr">
        <is>
          <t>Registered capital (注册资本) is not raised capital. Announced capacity is not operating capacity.</t>
        </is>
      </c>
    </row>
    <row r="9">
      <c r="A9" t="inlineStr">
        <is>
          <t>"not obtained" and blank are different</t>
        </is>
      </c>
      <c r="B9" t="inlineStr">
        <is>
          <t>Blank means nobody looked. "not obtained" means someone searched and Chinese disclosure was the limit. Only the second is a finding.</t>
        </is>
      </c>
    </row>
    <row r="10">
      <c r="A10" t="inlineStr">
        <is>
          <t>Do not hand-edit what the engine calculates</t>
        </is>
      </c>
      <c r="B10" t="inlineStr">
        <is>
          <t>Column R. Everything else is yours.</t>
        </is>
      </c>
    </row>
    <row r="12" ht="25.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showGridLines="0" tabSelected="1" zoomScaleNormal="100" workbookViewId="0">
      <pane ySplit="1" topLeftCell="A30" activePane="bottomLeft" state="frozen"/>
      <selection pane="bottomLeft" activeCell="B35" sqref="B35"/>
    </sheetView>
  </sheetViews>
  <sheetFormatPr baseColWidth="8" defaultColWidth="8.6640625" defaultRowHeight="14.25"/>
  <cols>
    <col width="9" customWidth="1" style="18" min="1" max="1"/>
    <col width="30" customWidth="1" style="18" min="2" max="2"/>
    <col width="14" customWidth="1" style="18" min="3" max="3"/>
    <col width="20" customWidth="1" style="18" min="4" max="4"/>
    <col width="8" customWidth="1" style="18" min="5" max="5"/>
    <col width="24" customWidth="1" style="18" min="6" max="6"/>
    <col width="34" customWidth="1" style="18" min="7" max="7"/>
    <col width="20" customWidth="1" style="18" min="8" max="9"/>
    <col width="16" customWidth="1" style="18" min="10" max="10"/>
    <col width="20" customWidth="1" style="18" min="11" max="11"/>
    <col width="8" customWidth="1" style="18" min="12" max="17"/>
    <col width="9" customWidth="1" style="18" min="18" max="18"/>
    <col width="14" customWidth="1" style="18" min="19" max="19"/>
    <col width="26" customWidth="1" style="18" min="20" max="20"/>
    <col width="60" customWidth="1" style="18" min="21" max="21"/>
    <col width="34" customWidth="1" style="18" min="22" max="22"/>
    <col width="18" customWidth="1" style="18" min="23" max="23"/>
    <col width="12" customWidth="1" style="18" min="24" max="24"/>
    <col width="34" customWidth="1" style="18" min="25" max="16384"/>
    <col width="34" customWidth="1" min="26" max="26"/>
    <col width="34" customWidth="1" min="27" max="27"/>
    <col width="34" customWidth="1" min="28" max="28"/>
    <col width="34" customWidth="1" min="29" max="29"/>
  </cols>
  <sheetData>
    <row r="1" ht="39.4" customHeight="1">
      <c r="A1" s="6" t="inlineStr">
        <is>
          <t>ID</t>
        </is>
      </c>
      <c r="B1" s="6" t="inlineStr">
        <is>
          <t>Company / entity</t>
        </is>
      </c>
      <c r="C1" s="7" t="inlineStr">
        <is>
          <t>中文名</t>
        </is>
      </c>
      <c r="D1" s="6" t="inlineStr">
        <is>
          <t>City / province</t>
        </is>
      </c>
      <c r="E1" s="6" t="inlineStr">
        <is>
          <t>Mission</t>
        </is>
      </c>
      <c r="F1" s="6" t="inlineStr">
        <is>
          <t>Vertical</t>
        </is>
      </c>
      <c r="G1" s="6" t="inlineStr">
        <is>
          <t>Precursor or technology</t>
        </is>
      </c>
      <c r="H1" s="6" t="inlineStr">
        <is>
          <t>Scale OPERATING</t>
        </is>
      </c>
      <c r="I1" s="6" t="inlineStr">
        <is>
          <t>Scale ANNOUNCED</t>
        </is>
      </c>
      <c r="J1" s="6" t="inlineStr">
        <is>
          <t>Registered capital</t>
        </is>
      </c>
      <c r="K1" s="6" t="inlineStr">
        <is>
          <t>Verified financing</t>
        </is>
      </c>
      <c r="L1" s="6" t="inlineStr">
        <is>
          <t>TRL</t>
        </is>
      </c>
      <c r="M1" s="6" t="inlineStr">
        <is>
          <t>E1 fit</t>
        </is>
      </c>
      <c r="N1" s="6" t="inlineStr">
        <is>
          <t>E2 impact</t>
        </is>
      </c>
      <c r="O1" s="6" t="inlineStr">
        <is>
          <t>E3 parity</t>
        </is>
      </c>
      <c r="P1" s="6" t="inlineStr">
        <is>
          <t>E4 export</t>
        </is>
      </c>
      <c r="Q1" s="6" t="inlineStr">
        <is>
          <t>E5 why us</t>
        </is>
      </c>
      <c r="R1" s="6" t="inlineStr">
        <is>
          <t>SCORE</t>
        </is>
      </c>
      <c r="S1" s="6" t="inlineStr">
        <is>
          <t>State</t>
        </is>
      </c>
      <c r="T1" s="6" t="inlineStr">
        <is>
          <t>Routing</t>
        </is>
      </c>
      <c r="U1" s="6" t="inlineStr">
        <is>
          <t>Reason / note</t>
        </is>
      </c>
      <c r="V1" s="6" t="inlineStr">
        <is>
          <t>Comparable DIRECT</t>
        </is>
      </c>
      <c r="W1" s="6" t="inlineStr">
        <is>
          <t>Data origin</t>
        </is>
      </c>
      <c r="X1" s="6" t="inlineStr">
        <is>
          <t>Date</t>
        </is>
      </c>
      <c r="Y1" s="6" t="inlineStr">
        <is>
          <t>Comparable INDIRECT</t>
        </is>
      </c>
      <c r="Z1" s="6" t="inlineStr">
        <is>
          <t>Forestry track record</t>
        </is>
      </c>
      <c r="AA1" s="6" t="inlineStr">
        <is>
          <t>Business model</t>
        </is>
      </c>
      <c r="AB1" s="6" t="inlineStr">
        <is>
          <t>Differentiators</t>
        </is>
      </c>
      <c r="AC1" s="6" t="inlineStr">
        <is>
          <t>Traction</t>
        </is>
      </c>
    </row>
    <row r="2" ht="89.25" customHeight="1">
      <c r="R2">
        <f>ROUND((M2*'02_Scoring'!$C$5+N2*'02_Scoring'!$C$6+O2*'02_Scoring'!$C$7+P2*'02_Scoring'!$C$8+Q2*'02_Scoring'!$C$9)/100,0)</f>
        <v/>
      </c>
    </row>
    <row r="3" ht="51" customHeight="1"/>
    <row r="4" ht="38.25" customHeight="1"/>
    <row r="5" ht="63.75" customHeight="1"/>
    <row r="6" ht="51" customHeight="1"/>
    <row r="7" ht="38.25" customHeight="1"/>
    <row r="8" ht="51" customHeight="1"/>
    <row r="9" ht="51" customHeight="1"/>
    <row r="10" ht="38.25" customHeight="1"/>
    <row r="11" ht="51" customHeight="1"/>
    <row r="12" ht="38.25" customHeight="1"/>
    <row r="13" ht="25.5" customHeight="1"/>
    <row r="14" ht="25.5" customHeight="1"/>
    <row r="15" ht="25.5" customHeight="1"/>
    <row r="16" ht="38.25" customHeight="1"/>
    <row r="17" ht="38.25" customHeight="1"/>
    <row r="18" ht="51" customHeight="1"/>
    <row r="19" ht="51" customHeight="1"/>
    <row r="20" ht="51" customHeight="1"/>
    <row r="21" ht="51" customHeight="1"/>
    <row r="22" ht="51" customHeight="1"/>
    <row r="23" ht="51" customHeight="1"/>
    <row r="24" ht="51" customHeight="1"/>
    <row r="25" ht="51" customHeight="1"/>
    <row r="26" ht="51" customHeight="1"/>
    <row r="27" ht="51" customHeight="1"/>
    <row r="28" ht="51" customHeight="1"/>
    <row r="29" ht="51" customHeight="1"/>
    <row r="30" ht="51" customHeight="1"/>
    <row r="31" ht="51" customHeight="1"/>
    <row r="32" ht="51" customHeight="1"/>
    <row r="33" ht="51" customHeight="1"/>
    <row r="34" ht="51" customHeight="1"/>
    <row r="35" ht="51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zoomScaleNormal="100" workbookViewId="0">
      <pane ySplit="27" topLeftCell="A49" activePane="bottomLeft" state="frozen"/>
      <selection pane="bottomLeft" activeCell="D15" sqref="D15"/>
    </sheetView>
  </sheetViews>
  <sheetFormatPr baseColWidth="8" defaultColWidth="8.6640625" defaultRowHeight="14.25"/>
  <cols>
    <col width="6" customWidth="1" min="1" max="1"/>
    <col width="34" customWidth="1" min="2" max="2"/>
    <col width="10" customWidth="1" min="3" max="3"/>
    <col width="88" customWidth="1" min="4" max="4"/>
  </cols>
  <sheetData>
    <row r="1" ht="17.65" customHeight="1">
      <c r="A1" s="1" t="inlineStr">
        <is>
          <t>RUBRIC · editable weights</t>
        </is>
      </c>
    </row>
    <row r="2">
      <c r="A2" s="12" t="inlineStr">
        <is>
          <t>Change a weight in column C and all of 01_Pipeline recalculates. Weights must sum to 100.</t>
        </is>
      </c>
    </row>
    <row r="4">
      <c r="A4" s="6" t="inlineStr">
        <is>
          <t>Axis</t>
        </is>
      </c>
      <c r="B4" s="6" t="inlineStr">
        <is>
          <t>Name</t>
        </is>
      </c>
      <c r="C4" s="6" t="inlineStr">
        <is>
          <t>Weight</t>
        </is>
      </c>
      <c r="D4" s="6" t="inlineStr">
        <is>
          <t>How the 0 to 100 note is scored</t>
        </is>
      </c>
    </row>
    <row r="5" ht="38.25" customHeight="1">
      <c r="A5" s="8" t="inlineStr">
        <is>
          <t>E1</t>
        </is>
      </c>
      <c r="B5" s="8" t="inlineStr">
        <is>
          <t>Raw-material fit</t>
        </is>
      </c>
      <c r="C5" s="13" t="n">
        <v>20</v>
      </c>
      <c r="D5" s="10" t="inlineStr">
        <is>
          <t>100 if the process runs on the species or kraft by-product YOUR company actually produces, with a yield figure. 60 if it runs on generic lignocellulosic biomass with yours unvalidated. 20 if fibre is a minor input. 0 if the precursor is not named.</t>
        </is>
      </c>
    </row>
    <row r="6" ht="38.25" customHeight="1">
      <c r="A6" s="8" t="inlineStr">
        <is>
          <t>E2</t>
        </is>
      </c>
      <c r="B6" s="8" t="inlineStr">
        <is>
          <t>Impact on the core</t>
        </is>
      </c>
      <c r="C6" s="13" t="n">
        <v>25</v>
      </c>
      <c r="D6" s="10" t="inlineStr">
        <is>
          <t>Up to 80 for the base case, by which door it opens: new business, competitive advantage, or reinforcement of position. Bonus of up to 20 if it falls in a vertical your company has historically underfunded. Set that bonus from the capital distribution in config.md, not from impression.</t>
        </is>
      </c>
    </row>
    <row r="7" ht="38.25" customHeight="1">
      <c r="A7" s="8" t="inlineStr">
        <is>
          <t>E3</t>
        </is>
      </c>
      <c r="B7" s="8" t="inlineStr">
        <is>
          <t>Industrial maturity and cost parity</t>
        </is>
      </c>
      <c r="C7" s="13" t="n">
        <v>25</v>
      </c>
      <c r="D7" s="10" t="inlineStr">
        <is>
          <t>100 if a pilot or commercial plant is operating with a declared cost at parity AGAINST THE CURRENT PRICE AND ITS TREND. 50 if there is a pilot with no cost figure. 0 if laboratory only, or if the cost sits above a market in deflation. Check 07_Theme_Tracker before scoring.</t>
        </is>
      </c>
    </row>
    <row r="8" ht="51" customHeight="1">
      <c r="A8" s="8" t="inlineStr">
        <is>
          <t>E4</t>
        </is>
      </c>
      <c r="B8" s="8" t="inlineStr">
        <is>
          <t>Exportability outside China</t>
        </is>
      </c>
      <c r="C8" s="13" t="n">
        <v>20</v>
      </c>
      <c r="D8" s="10" t="inlineStr">
        <is>
          <t>100 if the IP is owned and there is precedent of operation or licensing outside China. 50 if exportable in principle with no precedent. 0 if the cost only closes inside the provincial cluster, or there is regulatory exposure. Six sub-axes: IP ownership and jurisdiction, subsidy dependence, supply-chain portability, export control or dual use, willingness to license or JV, international precedent.</t>
        </is>
      </c>
    </row>
    <row r="9" ht="25.5" customHeight="1">
      <c r="A9" s="8" t="inlineStr">
        <is>
          <t>E5</t>
        </is>
      </c>
      <c r="B9" s="8" t="inlineStr">
        <is>
          <t>Why us</t>
        </is>
      </c>
      <c r="C9" s="13" t="n">
        <v>10</v>
      </c>
      <c r="D9" s="10" t="inlineStr">
        <is>
          <t>100 if a purchase order from your company is worth more to them than the cheque. 50 if the interest is purely financial. 0 if they do not reply.</t>
        </is>
      </c>
    </row>
    <row r="10">
      <c r="B10" s="14" t="inlineStr">
        <is>
          <t>TOTAL</t>
        </is>
      </c>
      <c r="C10" s="11">
        <f>SUM(C5:C9)</f>
        <v/>
      </c>
      <c r="D10" s="14">
        <f>IF(C10=100,"OK","ERROR: weights must sum to 100")</f>
        <v/>
      </c>
    </row>
    <row r="12">
      <c r="A12" s="15" t="inlineStr">
        <is>
          <t>THRESHOLDS · set these in config.md too, and keep them identical</t>
        </is>
      </c>
    </row>
    <row r="13">
      <c r="A13" s="6" t="n"/>
      <c r="B13" s="6" t="inlineStr">
        <is>
          <t>Threshold</t>
        </is>
      </c>
      <c r="C13" s="6" t="inlineStr">
        <is>
          <t>Value</t>
        </is>
      </c>
      <c r="D13" s="6" t="inlineStr">
        <is>
          <t>Action</t>
        </is>
      </c>
    </row>
    <row r="14">
      <c r="A14" s="8" t="n"/>
      <c r="B14" s="8" t="inlineStr">
        <is>
          <t>Deep dive</t>
        </is>
      </c>
      <c r="C14" s="16" t="n"/>
      <c r="D14" s="10" t="inlineStr">
        <is>
          <t>Goes to assess mode. Memo with a mandatory global comparable.</t>
        </is>
      </c>
    </row>
    <row r="15">
      <c r="A15" s="8" t="n"/>
      <c r="B15" s="8" t="inlineStr">
        <is>
          <t>Watchlist</t>
        </is>
      </c>
      <c r="C15" s="16" t="n"/>
      <c r="D15" s="10" t="inlineStr">
        <is>
          <t>Stays in pipeline with the specific missing questions named.</t>
        </is>
      </c>
    </row>
    <row r="16">
      <c r="A16" s="8" t="n"/>
      <c r="B16" s="8" t="inlineStr">
        <is>
          <t>Archive</t>
        </is>
      </c>
      <c r="C16" s="16" t="n"/>
      <c r="D16" s="10" t="inlineStr">
        <is>
          <t>Archived with a written reason. The reason feeds calibration and whitespace.</t>
        </is>
      </c>
    </row>
    <row r="18">
      <c r="A18" s="15" t="inlineStr">
        <is>
          <t>GATE A · eliminating (one no and it is archived, never scored)</t>
        </is>
      </c>
    </row>
    <row r="19">
      <c r="A19" s="6" t="inlineStr">
        <is>
          <t>Id</t>
        </is>
      </c>
      <c r="B19" s="6" t="inlineStr">
        <is>
          <t>Criterion</t>
        </is>
      </c>
      <c r="C19" s="6" t="inlineStr">
        <is>
          <t>State</t>
        </is>
      </c>
      <c r="D19" s="6" t="inlineStr">
        <is>
          <t>Detail</t>
        </is>
      </c>
    </row>
    <row r="20" ht="25.5" customHeight="1">
      <c r="A20" s="8" t="inlineStr">
        <is>
          <t>A1</t>
        </is>
      </c>
      <c r="B20" s="8" t="inlineStr">
        <is>
          <t>Raw-material fit</t>
        </is>
      </c>
      <c r="C20" s="8" t="inlineStr">
        <is>
          <t>active</t>
        </is>
      </c>
      <c r="D20" s="10" t="inlineStr">
        <is>
          <t>Consumes the feedstock your company produces, with a percentage in the recipe. No number, no pass.</t>
        </is>
      </c>
    </row>
    <row r="21" ht="25.5" customHeight="1">
      <c r="A21" s="8" t="inlineStr">
        <is>
          <t>A2</t>
        </is>
      </c>
      <c r="B21" s="8" t="inlineStr">
        <is>
          <t>Not already covered, and not declared out of scope</t>
        </is>
      </c>
      <c r="C21" s="8" t="inlineStr">
        <is>
          <t>active</t>
        </is>
      </c>
      <c r="D21" s="10" t="inlineStr">
        <is>
          <t>Fill from the Declared out of scope section of config.md. This gate is what stops a run on a question the business already answered.</t>
        </is>
      </c>
    </row>
    <row r="22" ht="25.5" customHeight="1">
      <c r="A22" s="8" t="inlineStr">
        <is>
          <t>A3</t>
        </is>
      </c>
      <c r="B22" s="8" t="inlineStr">
        <is>
          <t>Does not compete against cheap commodity with no differential</t>
        </is>
      </c>
      <c r="C22" s="8" t="inlineStr">
        <is>
          <t>active</t>
        </is>
      </c>
      <c r="D22" s="10" t="inlineStr">
        <is>
          <t>Find the market price of the substituted product AND ITS TREND before answering. This gate is the one that most often kills a whole case.</t>
        </is>
      </c>
    </row>
    <row r="23" ht="25.5" customHeight="1">
      <c r="A23" s="8" t="inlineStr">
        <is>
          <t>A4</t>
        </is>
      </c>
      <c r="B23" s="8" t="inlineStr">
        <is>
          <t>Accessibility and exposure</t>
        </is>
      </c>
      <c r="C23" s="8" t="inlineStr">
        <is>
          <t>FLAG</t>
        </is>
      </c>
      <c r="D23" s="10" t="inlineStr">
        <is>
          <t>Degrade to a flag unless you have a resolved source for control lists. A "no findings" from an unresolved source is an UNVERIFIED negative, not a clear result. Close it formally before any agreement.</t>
        </is>
      </c>
    </row>
    <row r="24">
      <c r="A24" s="8" t="inlineStr">
        <is>
          <t>A5</t>
        </is>
      </c>
      <c r="B24" s="8" t="inlineStr">
        <is>
          <t>Documentation in a language your client reads</t>
        </is>
      </c>
      <c r="C24" s="8" t="inlineStr">
        <is>
          <t>active</t>
        </is>
      </c>
      <c r="D24" s="10" t="inlineStr">
        <is>
          <t>Never send an untranslated document to the internal client.</t>
        </is>
      </c>
    </row>
    <row r="26">
      <c r="A26" s="15" t="inlineStr">
        <is>
          <t>GATE B · traffic lights that route (red does not kill, it diverts)</t>
        </is>
      </c>
    </row>
    <row r="27">
      <c r="A27" s="6" t="inlineStr">
        <is>
          <t>Id</t>
        </is>
      </c>
      <c r="B27" s="6" t="inlineStr">
        <is>
          <t>Criterion</t>
        </is>
      </c>
      <c r="C27" s="6" t="inlineStr">
        <is>
          <t>Green</t>
        </is>
      </c>
      <c r="D27" s="6" t="inlineStr">
        <is>
          <t>Amber / Red</t>
        </is>
      </c>
    </row>
    <row r="28">
      <c r="A28" s="8" t="inlineStr">
        <is>
          <t>B1</t>
        </is>
      </c>
      <c r="B28" s="8" t="inlineStr">
        <is>
          <t>TRL</t>
        </is>
      </c>
      <c r="C28" s="8" t="inlineStr">
        <is>
          <t>6 to 8</t>
        </is>
      </c>
      <c r="D28" s="10" t="inlineStr">
        <is>
          <t>Amber 5. Red 4 or below: goes to R&amp;D or public funds, not to Ventures.</t>
        </is>
      </c>
    </row>
    <row r="29">
      <c r="A29" s="8" t="inlineStr">
        <is>
          <t>B2</t>
        </is>
      </c>
      <c r="B29" s="8" t="inlineStr">
        <is>
          <t>Corporate vehicle</t>
        </is>
      </c>
      <c r="C29" s="8" t="inlineStr">
        <is>
          <t>Startup with a cap table</t>
        </is>
      </c>
      <c r="D29" s="10" t="inlineStr">
        <is>
          <t>Amber spin-off in formation. Red university or institute: goes to an R&amp;D agreement.</t>
        </is>
      </c>
    </row>
    <row r="30">
      <c r="A30" s="8" t="inlineStr">
        <is>
          <t>B3</t>
        </is>
      </c>
      <c r="B30" s="8" t="inlineStr">
        <is>
          <t>Stage and ticket</t>
        </is>
      </c>
      <c r="C30" s="8" t="inlineStr">
        <is>
          <t>Set from config.md</t>
        </is>
      </c>
      <c r="D30" s="10" t="inlineStr">
        <is>
          <t>Red outside the stage or ticket range in config.md.</t>
        </is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Normal="100" workbookViewId="0">
      <pane ySplit="1" topLeftCell="A3" activePane="bottomLeft" state="frozen"/>
      <selection pane="bottomLeft" activeCell="D4" sqref="D4"/>
    </sheetView>
  </sheetViews>
  <sheetFormatPr baseColWidth="8" defaultColWidth="8.6640625" defaultRowHeight="14.25"/>
  <cols>
    <col width="9" customWidth="1" min="1" max="1"/>
    <col width="14" customWidth="1" min="2" max="2"/>
    <col width="46" customWidth="1" min="3" max="3"/>
    <col width="56" customWidth="1" min="4" max="4"/>
    <col width="44" customWidth="1" min="5" max="5"/>
    <col width="30" customWidth="1" min="6" max="6"/>
    <col width="46" customWidth="1" min="7" max="7"/>
    <col width="16" customWidth="1" min="8" max="8"/>
    <col width="40" customWidth="1" min="9" max="9"/>
    <col width="12" customWidth="1" min="10" max="11"/>
  </cols>
  <sheetData>
    <row r="1" ht="15" customHeight="1">
      <c r="A1" s="6" t="inlineStr">
        <is>
          <t>ID</t>
        </is>
      </c>
      <c r="B1" s="6" t="inlineStr">
        <is>
          <t>Clase</t>
        </is>
      </c>
      <c r="C1" s="6" t="inlineStr">
        <is>
          <t>Descripcion del hueco</t>
        </is>
      </c>
      <c r="D1" s="6" t="inlineStr">
        <is>
          <t>Evidencia de la ausencia</t>
        </is>
      </c>
      <c r="E1" s="6" t="inlineStr">
        <is>
          <t>Hipotesis de por que esta vacio</t>
        </is>
      </c>
      <c r="F1" s="6" t="inlineStr">
        <is>
          <t>Activo de CMPC que aplica</t>
        </is>
      </c>
      <c r="G1" s="6" t="inlineStr">
        <is>
          <t>Experimento mas barato</t>
        </is>
      </c>
      <c r="H1" s="6" t="inlineStr">
        <is>
          <t>Costo estimado</t>
        </is>
      </c>
      <c r="I1" s="6" t="inlineStr">
        <is>
          <t>Criterio de muerte</t>
        </is>
      </c>
      <c r="J1" s="6" t="inlineStr">
        <is>
          <t>Estado</t>
        </is>
      </c>
      <c r="K1" s="6" t="inlineStr">
        <is>
          <t>Fecha</t>
        </is>
      </c>
    </row>
    <row r="2" ht="85.5" customHeight="1"/>
    <row r="3" ht="85.5" customHeight="1"/>
    <row r="4" ht="102" customHeight="1"/>
    <row r="5" ht="90.7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Normal="100" workbookViewId="0">
      <pane ySplit="1" topLeftCell="A2" activePane="bottomLeft" state="frozen"/>
      <selection pane="bottomLeft" activeCell="C6" sqref="C6"/>
    </sheetView>
  </sheetViews>
  <sheetFormatPr baseColWidth="8" defaultColWidth="8.6640625" defaultRowHeight="14.25"/>
  <cols>
    <col width="9" customWidth="1" min="1" max="1"/>
    <col width="34" customWidth="1" min="2" max="2"/>
    <col width="20" customWidth="1" min="3" max="3"/>
    <col width="18" customWidth="1" min="4" max="4"/>
    <col width="10" customWidth="1" min="5" max="6"/>
    <col width="12" customWidth="1" min="7" max="7"/>
    <col width="40" customWidth="1" min="8" max="8"/>
    <col width="14" customWidth="1" min="9" max="9"/>
    <col width="12" customWidth="1" min="10" max="10"/>
    <col width="52" customWidth="1" min="11" max="11"/>
  </cols>
  <sheetData>
    <row r="1" ht="26.25" customHeight="1">
      <c r="A1" s="6" t="inlineStr">
        <is>
          <t>ID</t>
        </is>
      </c>
      <c r="B1" s="6" t="inlineStr">
        <is>
          <t>Fuente</t>
        </is>
      </c>
      <c r="C1" s="7" t="inlineStr">
        <is>
          <t>中文名</t>
        </is>
      </c>
      <c r="D1" s="6" t="inlineStr">
        <is>
          <t>Tipo</t>
        </is>
      </c>
      <c r="E1" s="6" t="inlineStr">
        <is>
          <t>Idioma</t>
        </is>
      </c>
      <c r="F1" s="6" t="inlineStr">
        <is>
          <t>Capa</t>
        </is>
      </c>
      <c r="G1" s="6" t="inlineStr">
        <is>
          <t>Cadencia</t>
        </is>
      </c>
      <c r="H1" s="6" t="inlineStr">
        <is>
          <t>Ruta que funciona</t>
        </is>
      </c>
      <c r="I1" s="6" t="inlineStr">
        <is>
          <t>Ultima barrida</t>
        </is>
      </c>
      <c r="J1" s="6" t="inlineStr">
        <is>
          <t>Hallazgos aportados</t>
        </is>
      </c>
      <c r="K1" s="6" t="inlineStr">
        <is>
          <t>Nota</t>
        </is>
      </c>
    </row>
    <row r="2" ht="38.25" customHeight="1"/>
    <row r="6" ht="38.25" customHeight="1"/>
    <row r="7" ht="38.25" customHeight="1"/>
    <row r="9" ht="25.5" customHeight="1"/>
    <row r="10" ht="25.5" customHeight="1"/>
    <row r="11" ht="25.5" customHeight="1"/>
    <row r="12" ht="25.5" customHeight="1"/>
    <row r="14" ht="38.25" customHeight="1"/>
    <row r="16" ht="38.25" customHeight="1"/>
    <row r="17" ht="38.2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zoomScaleNormal="100" workbookViewId="0">
      <pane ySplit="1" topLeftCell="A2" activePane="bottomLeft" state="frozen"/>
      <selection pane="bottomLeft" activeCell="D8" sqref="D8"/>
    </sheetView>
  </sheetViews>
  <sheetFormatPr baseColWidth="8" defaultColWidth="8.6640625" defaultRowHeight="14.25"/>
  <cols>
    <col width="9" customWidth="1" min="1" max="1"/>
    <col width="12" customWidth="1" min="2" max="2"/>
    <col width="14" customWidth="1" min="3" max="3"/>
    <col width="52" customWidth="1" min="4" max="4"/>
    <col width="40" customWidth="1" min="5" max="5"/>
    <col width="62" customWidth="1" min="6" max="6"/>
  </cols>
  <sheetData>
    <row r="1">
      <c r="A1" s="6" t="inlineStr">
        <is>
          <t>ID</t>
        </is>
      </c>
      <c r="B1" s="6" t="inlineStr">
        <is>
          <t>Fecha</t>
        </is>
      </c>
      <c r="C1" s="6" t="inlineStr">
        <is>
          <t>Modo</t>
        </is>
      </c>
      <c r="D1" s="6" t="inlineStr">
        <is>
          <t>Evento</t>
        </is>
      </c>
      <c r="E1" s="6" t="inlineStr">
        <is>
          <t>Entidades tocadas</t>
        </is>
      </c>
      <c r="F1" s="6" t="inlineStr">
        <is>
          <t>Resultado</t>
        </is>
      </c>
    </row>
    <row r="2" ht="25.5" customHeight="1"/>
    <row r="3" ht="38.25" customHeight="1"/>
    <row r="4" ht="38.25" customHeight="1"/>
    <row r="5" ht="38.25" customHeight="1"/>
    <row r="6" ht="38.25" customHeight="1"/>
    <row r="7" ht="38.25" customHeight="1"/>
    <row r="8" ht="38.25" customHeight="1"/>
    <row r="9" ht="38.25" customHeight="1"/>
    <row r="10" ht="38.25" customHeight="1"/>
    <row r="11" ht="38.25" customHeight="1"/>
    <row r="12" ht="38.25" customHeight="1"/>
    <row r="13" ht="38.25" customHeight="1"/>
    <row r="14" ht="38.25" customHeight="1"/>
    <row r="15" ht="38.25" customHeight="1"/>
    <row r="16" ht="38.25" customHeight="1"/>
    <row r="17" ht="38.25" customHeight="1"/>
    <row r="18" ht="38.25" customHeight="1"/>
    <row r="19" ht="38.25" customHeight="1"/>
    <row r="20" ht="38.25" customHeight="1"/>
    <row r="21" ht="38.25" customHeight="1"/>
    <row r="22" ht="38.25" customHeight="1"/>
    <row r="23" ht="38.25" customHeight="1"/>
    <row r="24" ht="38.25" customHeight="1"/>
    <row r="25" ht="38.25" customHeight="1"/>
    <row r="26" ht="38.25" customHeight="1"/>
    <row r="27" ht="38.25" customHeight="1"/>
    <row r="28" ht="38.25" customHeight="1"/>
    <row r="29" ht="38.25" customHeight="1"/>
    <row r="30" ht="38.25" customHeight="1"/>
    <row r="31" ht="38.25" customHeight="1"/>
    <row r="32" ht="38.25" customHeight="1"/>
    <row r="33" ht="38.25" customHeight="1"/>
    <row r="34" ht="38.25" customHeight="1"/>
    <row r="35" ht="38.25" customHeight="1"/>
    <row r="36" ht="38.25" customHeight="1"/>
    <row r="37" ht="38.25" customHeight="1"/>
    <row r="38" ht="38.25" customHeight="1"/>
    <row r="39" ht="38.25" customHeight="1"/>
    <row r="40" ht="38.25" customHeight="1"/>
    <row r="41" ht="38.25" customHeight="1"/>
    <row r="42" ht="38.25" customHeight="1"/>
    <row r="43" ht="38.25" customHeight="1"/>
    <row r="44" ht="38.25" customHeight="1"/>
    <row r="45" ht="38.25" customHeight="1"/>
    <row r="46" ht="38.25" customHeight="1"/>
    <row r="47" ht="38.25" customHeight="1"/>
    <row r="48" ht="38.25" customHeight="1"/>
    <row r="49" ht="38.25" customHeight="1"/>
    <row r="50" ht="38.25" customHeight="1"/>
    <row r="51" ht="38.25" customHeight="1"/>
    <row r="52" ht="38.25" customHeight="1"/>
    <row r="53" ht="38.2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zoomScaleNormal="100" workbookViewId="0">
      <pane ySplit="1" topLeftCell="A3" activePane="bottomLeft" state="frozen"/>
      <selection pane="bottomLeft" activeCell="C11" sqref="C11"/>
    </sheetView>
  </sheetViews>
  <sheetFormatPr baseColWidth="8" defaultColWidth="8.6640625" defaultRowHeight="14.25"/>
  <cols>
    <col width="9" customWidth="1" min="1" max="1"/>
    <col width="12" customWidth="1" min="2" max="2"/>
    <col width="22" customWidth="1" min="3" max="3"/>
    <col width="28" customWidth="1" min="4" max="4"/>
    <col width="14" customWidth="1" min="5" max="5"/>
    <col width="24" customWidth="1" min="6" max="6"/>
    <col width="14" customWidth="1" min="7" max="7"/>
    <col width="66" customWidth="1" min="8" max="8"/>
    <col width="44" customWidth="1" min="9" max="9"/>
    <col width="16" customWidth="1" min="10" max="10"/>
  </cols>
  <sheetData>
    <row r="1" ht="26.25" customHeight="1">
      <c r="A1" s="6" t="inlineStr">
        <is>
          <t>ID</t>
        </is>
      </c>
      <c r="B1" s="6" t="inlineStr">
        <is>
          <t>Fecha</t>
        </is>
      </c>
      <c r="C1" s="6" t="inlineStr">
        <is>
          <t>Tipo</t>
        </is>
      </c>
      <c r="D1" s="6" t="inlineStr">
        <is>
          <t>Caso</t>
        </is>
      </c>
      <c r="E1" s="6" t="inlineStr">
        <is>
          <t>Score del sistema</t>
        </is>
      </c>
      <c r="F1" s="6" t="inlineStr">
        <is>
          <t>Veredicto humano</t>
        </is>
      </c>
      <c r="G1" s="6" t="inlineStr">
        <is>
          <t>Eje responsable</t>
        </is>
      </c>
      <c r="H1" s="6" t="inlineStr">
        <is>
          <t>Leccion</t>
        </is>
      </c>
      <c r="I1" s="6" t="inlineStr">
        <is>
          <t>Cambio propuesto</t>
        </is>
      </c>
      <c r="J1" s="6" t="inlineStr">
        <is>
          <t>Estado</t>
        </is>
      </c>
    </row>
    <row r="2" ht="25.5" customHeight="1"/>
    <row r="3" ht="25.5" customHeight="1"/>
    <row r="4" ht="25.5" customHeight="1"/>
    <row r="5" ht="51" customHeight="1"/>
    <row r="6" ht="38.25" customHeight="1"/>
    <row r="7" ht="38.25" customHeight="1"/>
    <row r="8" ht="38.25" customHeight="1"/>
    <row r="9" ht="38.25" customHeight="1"/>
    <row r="10" ht="38.25" customHeight="1"/>
    <row r="11" ht="38.25" customHeight="1"/>
    <row r="12" ht="38.25" customHeight="1"/>
    <row r="13" ht="38.25" customHeight="1"/>
    <row r="14" ht="38.25" customHeight="1"/>
    <row r="15" ht="38.25" customHeight="1"/>
    <row r="16" ht="38.25" customHeight="1"/>
    <row r="17" ht="38.25" customHeight="1"/>
    <row r="18" ht="38.2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Normal="100" workbookViewId="0">
      <pane ySplit="4" topLeftCell="A6" activePane="bottomLeft" state="frozen"/>
      <selection pane="bottomLeft" activeCell="B31" sqref="B31"/>
    </sheetView>
  </sheetViews>
  <sheetFormatPr baseColWidth="8" defaultColWidth="8.6640625" defaultRowHeight="14.25"/>
  <cols>
    <col width="26" customWidth="1" min="1" max="1"/>
    <col width="32" customWidth="1" min="2" max="2"/>
    <col width="12" customWidth="1" min="3" max="3"/>
    <col width="14" customWidth="1" min="4" max="5"/>
    <col width="30" customWidth="1" min="6" max="6"/>
    <col width="16" customWidth="1" min="7" max="7"/>
    <col width="58" customWidth="1" min="8" max="8"/>
  </cols>
  <sheetData>
    <row r="1" ht="17.65" customHeight="1">
      <c r="A1" s="1" t="inlineStr">
        <is>
          <t>TRACKER DE TEMAS · la serie es el activo, no el dato suelto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zoomScaleNormal="100" workbookViewId="0">
      <pane ySplit="1" topLeftCell="A2" activePane="bottomLeft" state="frozen"/>
      <selection pane="bottomLeft" activeCell="D8" sqref="D8"/>
    </sheetView>
  </sheetViews>
  <sheetFormatPr baseColWidth="8" defaultColWidth="8.6640625" defaultRowHeight="14.25"/>
  <cols>
    <col width="9" customWidth="1" min="1" max="1"/>
    <col width="26" customWidth="1" min="2" max="2"/>
    <col width="16" customWidth="1" min="3" max="3"/>
    <col width="46" customWidth="1" min="4" max="4"/>
    <col width="14" customWidth="1" min="5" max="5"/>
    <col width="11" customWidth="1" min="6" max="6"/>
    <col width="54" customWidth="1" min="7" max="7"/>
    <col width="62" customWidth="1" min="8" max="8"/>
    <col width="24" customWidth="1" min="9" max="9"/>
    <col width="12" customWidth="1" min="10" max="10"/>
  </cols>
  <sheetData>
    <row r="1">
      <c r="A1" s="6" t="inlineStr">
        <is>
          <t>ID</t>
        </is>
      </c>
      <c r="B1" s="6" t="inlineStr">
        <is>
          <t>Investigador</t>
        </is>
      </c>
      <c r="C1" s="7" t="inlineStr">
        <is>
          <t>中文名</t>
        </is>
      </c>
      <c r="D1" s="6" t="inlineStr">
        <is>
          <t>Institucion</t>
        </is>
      </c>
      <c r="E1" s="6" t="inlineStr">
        <is>
          <t>Ciudad</t>
        </is>
      </c>
      <c r="F1" s="6" t="inlineStr">
        <is>
          <t>Prioridad</t>
        </is>
      </c>
      <c r="G1" s="6" t="inlineStr">
        <is>
          <t>Por que importa</t>
        </is>
      </c>
      <c r="H1" s="6" t="inlineStr">
        <is>
          <t>Evidencia</t>
        </is>
      </c>
      <c r="I1" s="6" t="inlineStr">
        <is>
          <t>Ruteo interno</t>
        </is>
      </c>
      <c r="J1" s="6" t="inlineStr">
        <is>
          <t>Estado</t>
        </is>
      </c>
    </row>
    <row r="2" ht="51" customHeight="1"/>
    <row r="3" ht="51" customHeight="1"/>
    <row r="4" ht="38.25" customHeight="1"/>
    <row r="5" ht="51" customHeight="1"/>
    <row r="6" ht="51" customHeight="1"/>
    <row r="7" ht="63.75" customHeight="1"/>
    <row r="8" ht="38.25" customHeight="1"/>
    <row r="9" ht="63.75" customHeight="1"/>
    <row r="10" ht="51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zoomScaleNormal="100" workbookViewId="0">
      <pane ySplit="1" topLeftCell="A2" activePane="bottomLeft" state="frozen"/>
      <selection pane="bottomLeft" activeCell="B10" sqref="B10"/>
    </sheetView>
  </sheetViews>
  <sheetFormatPr baseColWidth="8" defaultColWidth="8.6640625" defaultRowHeight="14.25"/>
  <cols>
    <col width="30" customWidth="1" min="1" max="1"/>
    <col width="78" customWidth="1" min="2" max="2"/>
    <col width="54" customWidth="1" min="3" max="3"/>
  </cols>
  <sheetData>
    <row r="1">
      <c r="A1" t="inlineStr">
        <is>
          <t>Field or term</t>
        </is>
      </c>
      <c r="B1" t="inlineStr">
        <is>
          <t>Meaning</t>
        </is>
      </c>
      <c r="C1" t="inlineStr">
        <is>
          <t>Controlled vocabulary</t>
        </is>
      </c>
    </row>
    <row r="2" ht="25.5" customHeight="1">
      <c r="A2" t="inlineStr">
        <is>
          <t>Mission</t>
        </is>
      </c>
      <c r="B2" t="inlineStr">
        <is>
          <t>Direction of the opportunity. Confusing them produces entries that answer nobody.</t>
        </is>
      </c>
      <c r="C2" t="inlineStr">
        <is>
          <t>A = tech-in (bring Chinese technology in). B = market-in (place your fibre or product into a Chinese chain).</t>
        </is>
      </c>
    </row>
    <row r="3" ht="51" customHeight="1">
      <c r="A3" t="inlineStr">
        <is>
          <t>Vertical</t>
        </is>
      </c>
      <c r="B3" t="inlineStr">
        <is>
          <t>The verticals in force for your venture arm. Set them in config.md.</t>
        </is>
      </c>
      <c r="C3" t="inlineStr">
        <is>
          <t>one per row, from config.md</t>
        </is>
      </c>
    </row>
    <row r="4">
      <c r="A4" t="inlineStr">
        <is>
          <t>Scale OPERATING</t>
        </is>
      </c>
      <c r="B4" t="inlineStr">
        <is>
          <t>Capacity actually producing. NEVER mixed with announced.</t>
        </is>
      </c>
      <c r="C4" t="inlineStr">
        <is>
          <t>tonnes per year, with the year of the datum</t>
        </is>
      </c>
    </row>
    <row r="5">
      <c r="A5" t="inlineStr">
        <is>
          <t>Scale ANNOUNCED</t>
        </is>
      </c>
      <c r="B5" t="inlineStr">
        <is>
          <t>Capacity planned or under construction. Typical gap against operating in the Chinese materials sector is 3 to 1.</t>
        </is>
      </c>
      <c r="C5" t="inlineStr">
        <is>
          <t>tonnes per year, with the year of the announcement</t>
        </is>
      </c>
    </row>
    <row r="6">
      <c r="A6" t="inlineStr">
        <is>
          <t>Registered capital</t>
        </is>
      </c>
      <c r="B6" t="inlineStr">
        <is>
          <t>注册资本. Declared, and may never be paid in. It is NOT raised capital.</t>
        </is>
      </c>
      <c r="C6" t="inlineStr">
        <is>
          <t>RMB</t>
        </is>
      </c>
    </row>
    <row r="7">
      <c r="A7" t="inlineStr">
        <is>
          <t>Verified financing</t>
        </is>
      </c>
      <c r="B7" t="inlineStr">
        <is>
          <t>A round confirmed by the company or the investor, not press alone.</t>
        </is>
      </c>
      <c r="C7" t="inlineStr">
        <is>
          <t>currency, amount, round, lead</t>
        </is>
      </c>
    </row>
    <row r="8">
      <c r="A8" t="inlineStr">
        <is>
          <t>Data origin</t>
        </is>
      </c>
      <c r="B8" t="inlineStr">
        <is>
          <t>Mandatory label. Without it the datum does not enter the score.</t>
        </is>
      </c>
      <c r="C8" t="inlineStr">
        <is>
          <t>registry / patent / paper / filing / company / press / analyst</t>
        </is>
      </c>
    </row>
    <row r="9">
      <c r="A9" t="inlineStr">
        <is>
          <t>State</t>
        </is>
      </c>
      <c r="B9" t="inlineStr">
        <is>
          <t>Situation of the row in the pipeline.</t>
        </is>
      </c>
      <c r="C9" t="inlineStr">
        <is>
          <t>watchlist / deep dive / archived / out of range / unverified</t>
        </is>
      </c>
    </row>
    <row r="10" ht="38.25" customHeight="1">
      <c r="A10" t="inlineStr">
        <is>
          <t>Routing</t>
        </is>
      </c>
      <c r="B10" t="inlineStr">
        <is>
          <t>Which vehicle of your venture arm applies. Set the list in config.md.</t>
        </is>
      </c>
      <c r="C10" t="inlineStr">
        <is>
          <t>from config.md</t>
        </is>
      </c>
    </row>
    <row r="11">
      <c r="A11" t="inlineStr">
        <is>
          <t>Gap class</t>
        </is>
      </c>
      <c r="B11" t="inlineStr">
        <is>
          <t>Typology of the whitespace.</t>
        </is>
      </c>
      <c r="C11" t="inlineStr">
        <is>
          <t>industry / IP / literature / data</t>
        </is>
      </c>
    </row>
    <row r="12">
      <c r="A12" t="inlineStr">
        <is>
          <t>Layer</t>
        </is>
      </c>
      <c r="B12" t="inlineStr">
        <is>
          <t>Speed at which a source moves. Defines its cadence.</t>
        </is>
      </c>
      <c r="C12" t="inlineStr">
        <is>
          <t>fast (weekly) / medium (monthly) / slow (quarterly)</t>
        </is>
      </c>
    </row>
    <row r="13">
      <c r="A13" t="inlineStr">
        <is>
          <t>TRL</t>
        </is>
      </c>
      <c r="B13" t="inlineStr">
        <is>
          <t>Technology Readiness Level. Band of interest set in config.md.</t>
        </is>
      </c>
      <c r="C13" t="inlineStr">
        <is>
          <t>1 to 9</t>
        </is>
      </c>
    </row>
    <row r="14">
      <c r="A14" t="inlineStr">
        <is>
          <t>GB/T 37264-2018</t>
        </is>
      </c>
      <c r="B14" t="inlineStr">
        <is>
          <t>新材料技术成熟度等级划分及定义. The Chinese technology-maturity scale, the equivalent of TRL. It is a maturity scale, NOT a product specification. It has been presented as one; check what a cited standard actually says before accepting it as technical evidence.</t>
        </is>
      </c>
      <c r="C14" t="inlineStr">
        <is>
          <t>-</t>
        </is>
      </c>
    </row>
    <row r="15" ht="25.5" customHeight="1">
      <c r="A15" t="inlineStr">
        <is>
          <t>Green parity</t>
        </is>
      </c>
      <c r="B15" t="inlineStr">
        <is>
          <t>Markets have moved from paying a green premium to demanding cost parity. Score E3 against the current price and its trend, not against a premium that no longer exists.</t>
        </is>
      </c>
      <c r="C15" t="inlineStr">
        <is>
          <t>-</t>
        </is>
      </c>
    </row>
    <row r="16" ht="25.5" customHeight="1">
      <c r="A16" t="inlineStr">
        <is>
          <t>Forestry track record</t>
        </is>
      </c>
      <c r="B16" t="inlineStr">
        <is>
          <t>NAMED forestry or pulp-and-paper counterparties the technology has actually run with, and what was run. "Works with the sector" is not a track record.</t>
        </is>
      </c>
      <c r="C16" t="inlineStr">
        <is>
          <t>green / amber / red / not obtained</t>
        </is>
      </c>
    </row>
    <row r="17">
      <c r="A17" t="inlineStr">
        <is>
          <t>Business model</t>
        </is>
      </c>
      <c r="B17" t="inlineStr">
        <is>
          <t>How the entity makes money: licence, JV, equipment sale, tolling, product sale, or the actual mix.</t>
        </is>
      </c>
      <c r="C17" t="inlineStr">
        <is>
          <t>-</t>
        </is>
      </c>
    </row>
    <row r="18">
      <c r="A18" t="inlineStr">
        <is>
          <t>Differentiators</t>
        </is>
      </c>
      <c r="B18" t="inlineStr">
        <is>
          <t>What they do that the incumbent and the direct comparable cannot, stated as a capability and not as a claim.</t>
        </is>
      </c>
      <c r="C18" t="inlineStr">
        <is>
          <t>-</t>
        </is>
      </c>
    </row>
    <row r="19">
      <c r="A19" t="inlineStr">
        <is>
          <t>Traction</t>
        </is>
      </c>
      <c r="B19" t="inlineStr">
        <is>
          <t>Paying customers, signed contracts, order book, lines or plants sold. Never estimated.</t>
        </is>
      </c>
      <c r="C19" t="inlineStr">
        <is>
          <t>"not obtained" is an accepted value</t>
        </is>
      </c>
    </row>
    <row r="20">
      <c r="A20" t="inlineStr">
        <is>
          <t>Comparable DIRECT</t>
        </is>
      </c>
      <c r="B20" t="inlineStr">
        <is>
          <t>Analogue with the same technology in the same market. Mandatory before anything leaves.</t>
        </is>
      </c>
      <c r="C20" t="inlineStr">
        <is>
          <t>-</t>
        </is>
      </c>
    </row>
    <row r="21">
      <c r="A21" t="inlineStr">
        <is>
          <t>Comparable INDIRECT</t>
        </is>
      </c>
      <c r="B21" t="inlineStr">
        <is>
          <t>Analogue solving the same problem by another route, including the incumbent.</t>
        </is>
      </c>
      <c r="C21" t="inlineStr">
        <is>
          <t>-</t>
        </is>
      </c>
    </row>
    <row r="22">
      <c r="A22" t="inlineStr">
        <is>
          <t>not obtained</t>
        </is>
      </c>
      <c r="B22" t="inlineStr">
        <is>
          <t>Someone searched, with at least two Chinese formulations, and disclosure was the limit. A BLANK means nobody looked. They read identically in a cell and they are not the same fact.</t>
        </is>
      </c>
      <c r="C22" t="inlineStr">
        <is>
          <t>-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2026-07-28T07:00:04Z</dcterms:created>
  <dcterms:modified xmlns:dcterms="http://purl.org/dc/terms/" xmlns:xsi="http://www.w3.org/2001/XMLSchema-instance" xsi:type="dcterms:W3CDTF">2026-09-08T04:19:00Z</dcterms:modified>
  <cp:lastModifiedBy>José Tomás Corthorn (CMPC Pulp Shanghai)</cp:lastModifiedBy>
  <cp:revision>0</cp:revision>
</cp:coreProperties>
</file>